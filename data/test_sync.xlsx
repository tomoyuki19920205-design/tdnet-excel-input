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企業コード</t>
        </is>
      </c>
      <c r="M1" t="inlineStr">
        <is>
          <t>会計年</t>
        </is>
      </c>
      <c r="N1" t="inlineStr">
        <is>
          <t>四半期</t>
        </is>
      </c>
      <c r="O1" t="inlineStr">
        <is>
          <t>累計売上</t>
        </is>
      </c>
      <c r="P1" t="inlineStr">
        <is>
          <t>累計粗利</t>
        </is>
      </c>
      <c r="Q1" t="inlineStr">
        <is>
          <t>粗利率</t>
        </is>
      </c>
      <c r="R1" t="inlineStr">
        <is>
          <t>販管費</t>
        </is>
      </c>
      <c r="S1" t="inlineStr">
        <is>
          <t>累計営益</t>
        </is>
      </c>
      <c r="T1" t="inlineStr">
        <is>
          <t>営利率</t>
        </is>
      </c>
      <c r="U1" t="inlineStr">
        <is>
          <t>単体売上</t>
        </is>
      </c>
      <c r="V1" t="inlineStr">
        <is>
          <t>単体粗利</t>
        </is>
      </c>
      <c r="W1" t="inlineStr">
        <is>
          <t>粗利率(単)</t>
        </is>
      </c>
      <c r="X1" t="inlineStr">
        <is>
          <t>販管費(単)</t>
        </is>
      </c>
      <c r="Y1" t="inlineStr">
        <is>
          <t>単体営益</t>
        </is>
      </c>
      <c r="Z1" t="inlineStr">
        <is>
          <t>メモ</t>
        </is>
      </c>
    </row>
    <row r="2">
      <c r="A2" t="inlineStr">
        <is>
          <t>5461</t>
        </is>
      </c>
      <c r="M2" t="inlineStr">
        <is>
          <t>R7/12</t>
        </is>
      </c>
      <c r="N2" t="inlineStr">
        <is>
          <t>2Q</t>
        </is>
      </c>
      <c r="O2" t="n">
        <v>36809</v>
      </c>
      <c r="Q2">
        <f>IF(O2=0,"",P2/O2)</f>
        <v/>
      </c>
      <c r="R2">
        <f>P2-S2</f>
        <v/>
      </c>
      <c r="S2" t="n">
        <v>735</v>
      </c>
      <c r="T2">
        <f>IF(O2=0,"",S2/O2)</f>
        <v/>
      </c>
      <c r="W2">
        <f>IF(U2=0,"",V2/U2)</f>
        <v/>
      </c>
      <c r="X2">
        <f>V2-Y2</f>
        <v/>
      </c>
    </row>
    <row r="3">
      <c r="A3" t="inlineStr">
        <is>
          <t>6855</t>
        </is>
      </c>
      <c r="M3" t="inlineStr">
        <is>
          <t>R7/12</t>
        </is>
      </c>
      <c r="N3" t="inlineStr">
        <is>
          <t>2Q</t>
        </is>
      </c>
      <c r="O3" t="n">
        <v>20675</v>
      </c>
      <c r="Q3">
        <f>IF(O3=0,"",P3/O3)</f>
        <v/>
      </c>
      <c r="R3">
        <f>P3-S3</f>
        <v/>
      </c>
      <c r="S3" t="n">
        <v>5028</v>
      </c>
      <c r="T3">
        <f>IF(O3=0,"",S3/O3)</f>
        <v/>
      </c>
      <c r="W3">
        <f>IF(U3=0,"",V3/U3)</f>
        <v/>
      </c>
      <c r="X3">
        <f>V3-Y3</f>
        <v/>
      </c>
    </row>
    <row r="4">
      <c r="A4" t="inlineStr">
        <is>
          <t>4062</t>
        </is>
      </c>
      <c r="M4" t="inlineStr">
        <is>
          <t>R7/12</t>
        </is>
      </c>
      <c r="N4" t="inlineStr">
        <is>
          <t>2Q</t>
        </is>
      </c>
      <c r="O4" t="n">
        <v>298621</v>
      </c>
      <c r="Q4">
        <f>IF(O4=0,"",P4/O4)</f>
        <v/>
      </c>
      <c r="R4">
        <f>P4-S4</f>
        <v/>
      </c>
      <c r="S4" t="n">
        <v>44527</v>
      </c>
      <c r="T4">
        <f>IF(O4=0,"",S4/O4)</f>
        <v/>
      </c>
      <c r="W4">
        <f>IF(U4=0,"",V4/U4)</f>
        <v/>
      </c>
      <c r="X4">
        <f>V4-Y4</f>
        <v/>
      </c>
    </row>
    <row r="5">
      <c r="A5" t="inlineStr">
        <is>
          <t>2288</t>
        </is>
      </c>
      <c r="M5" t="inlineStr">
        <is>
          <t>R7/12</t>
        </is>
      </c>
      <c r="N5" t="inlineStr">
        <is>
          <t>2Q</t>
        </is>
      </c>
      <c r="O5" t="n">
        <v>183643</v>
      </c>
      <c r="Q5">
        <f>IF(O5=0,"",P5/O5)</f>
        <v/>
      </c>
      <c r="R5">
        <f>P5-S5</f>
        <v/>
      </c>
      <c r="S5" t="n">
        <v>6807</v>
      </c>
      <c r="T5">
        <f>IF(O5=0,"",S5/O5)</f>
        <v/>
      </c>
      <c r="W5">
        <f>IF(U5=0,"",V5/U5)</f>
        <v/>
      </c>
      <c r="X5">
        <f>V5-Y5</f>
        <v/>
      </c>
    </row>
    <row r="6">
      <c r="A6" t="inlineStr">
        <is>
          <t>8985</t>
        </is>
      </c>
      <c r="M6" t="inlineStr">
        <is>
          <t>R7/12</t>
        </is>
      </c>
      <c r="N6" t="inlineStr">
        <is>
          <t>1Q</t>
        </is>
      </c>
      <c r="O6" t="n">
        <v>45564</v>
      </c>
      <c r="Q6">
        <f>IF(O6=0,"",P6/O6)</f>
        <v/>
      </c>
      <c r="R6">
        <f>P6-S6</f>
        <v/>
      </c>
      <c r="S6" t="n">
        <v>31052</v>
      </c>
      <c r="T6">
        <f>IF(O6=0,"",S6/O6)</f>
        <v/>
      </c>
      <c r="W6">
        <f>IF(U6=0,"",V6/U6)</f>
        <v/>
      </c>
      <c r="X6">
        <f>V6-Y6</f>
        <v/>
      </c>
    </row>
    <row r="7">
      <c r="A7" t="inlineStr">
        <is>
          <t>7093</t>
        </is>
      </c>
      <c r="M7" t="inlineStr">
        <is>
          <t>R7/12</t>
        </is>
      </c>
      <c r="N7" t="inlineStr">
        <is>
          <t>2Q</t>
        </is>
      </c>
      <c r="O7" t="n">
        <v>3696</v>
      </c>
      <c r="Q7">
        <f>IF(O7=0,"",P7/O7)</f>
        <v/>
      </c>
      <c r="R7">
        <f>P7-S7</f>
        <v/>
      </c>
      <c r="S7" t="n">
        <v>2</v>
      </c>
      <c r="T7">
        <f>IF(O7=0,"",S7/O7)</f>
        <v/>
      </c>
      <c r="W7">
        <f>IF(U7=0,"",V7/U7)</f>
        <v/>
      </c>
      <c r="X7">
        <f>V7-Y7</f>
        <v/>
      </c>
    </row>
    <row r="8">
      <c r="A8" t="inlineStr">
        <is>
          <t>2391</t>
        </is>
      </c>
      <c r="M8" t="inlineStr">
        <is>
          <t>R8/1</t>
        </is>
      </c>
      <c r="N8" t="inlineStr">
        <is>
          <t>1Q</t>
        </is>
      </c>
      <c r="O8" t="n">
        <v>1573</v>
      </c>
      <c r="Q8">
        <f>IF(O8=0,"",P8/O8)</f>
        <v/>
      </c>
      <c r="R8">
        <f>P8-S8</f>
        <v/>
      </c>
      <c r="S8" t="n">
        <v>316</v>
      </c>
      <c r="T8">
        <f>IF(O8=0,"",S8/O8)</f>
        <v/>
      </c>
      <c r="W8">
        <f>IF(U8=0,"",V8/U8)</f>
        <v/>
      </c>
      <c r="X8">
        <f>V8-Y8</f>
        <v/>
      </c>
    </row>
    <row r="9">
      <c r="A9" t="inlineStr">
        <is>
          <t>5262</t>
        </is>
      </c>
      <c r="M9" t="inlineStr">
        <is>
          <t>R7/12</t>
        </is>
      </c>
      <c r="N9" t="inlineStr">
        <is>
          <t>1Q</t>
        </is>
      </c>
      <c r="O9" t="n">
        <v>27589</v>
      </c>
      <c r="Q9">
        <f>IF(O9=0,"",P9/O9)</f>
        <v/>
      </c>
      <c r="R9">
        <f>P9-S9</f>
        <v/>
      </c>
      <c r="S9" t="n">
        <v>1868</v>
      </c>
      <c r="T9">
        <f>IF(O9=0,"",S9/O9)</f>
        <v/>
      </c>
      <c r="W9">
        <f>IF(U9=0,"",V9/U9)</f>
        <v/>
      </c>
      <c r="X9">
        <f>V9-Y9</f>
        <v/>
      </c>
    </row>
    <row r="10">
      <c r="A10" t="inlineStr">
        <is>
          <t>8963</t>
        </is>
      </c>
      <c r="M10" t="inlineStr">
        <is>
          <t>R7/12</t>
        </is>
      </c>
      <c r="N10" t="inlineStr">
        <is>
          <t>1Q</t>
        </is>
      </c>
      <c r="O10" t="n">
        <v>28591</v>
      </c>
      <c r="Q10">
        <f>IF(O10=0,"",P10/O10)</f>
        <v/>
      </c>
      <c r="R10">
        <f>P10-S10</f>
        <v/>
      </c>
      <c r="S10" t="n">
        <v>19309</v>
      </c>
      <c r="T10">
        <f>IF(O10=0,"",S10/O10)</f>
        <v/>
      </c>
      <c r="W10">
        <f>IF(U10=0,"",V10/U10)</f>
        <v/>
      </c>
      <c r="X10">
        <f>V10-Y10</f>
        <v/>
      </c>
    </row>
    <row r="11">
      <c r="A11" t="inlineStr">
        <is>
          <t>9215</t>
        </is>
      </c>
      <c r="M11" t="inlineStr">
        <is>
          <t>R7/11</t>
        </is>
      </c>
      <c r="N11" t="inlineStr">
        <is>
          <t>1Q</t>
        </is>
      </c>
      <c r="O11" t="n">
        <v>1922</v>
      </c>
      <c r="Q11">
        <f>IF(O11=0,"",P11/O11)</f>
        <v/>
      </c>
      <c r="R11">
        <f>P11-S11</f>
        <v/>
      </c>
      <c r="S11" t="n">
        <v>50</v>
      </c>
      <c r="T11">
        <f>IF(O11=0,"",S11/O11)</f>
        <v/>
      </c>
      <c r="W11">
        <f>IF(U11=0,"",V11/U11)</f>
        <v/>
      </c>
      <c r="X11">
        <f>V11-Y11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2026-02-26T13:29:05Z</dcterms:created>
  <dcterms:modified xmlns:dcterms="http://purl.org/dc/terms/" xmlns:xsi="http://www.w3.org/2001/XMLSchema-instance" xsi:type="dcterms:W3CDTF">2026-02-26T14:38:03Z</dcterms:modified>
</cp:coreProperties>
</file>